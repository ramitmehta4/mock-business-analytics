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8\Downloads\"/>
    </mc:Choice>
  </mc:AlternateContent>
  <xr:revisionPtr revIDLastSave="0" documentId="13_ncr:1_{1FEC7031-52D7-4EA9-9F4C-FD4B4829F4B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ADME" sheetId="1" r:id="rId1"/>
    <sheet name="Inputs" sheetId="2" r:id="rId2"/>
    <sheet name="Abandonment" sheetId="3" r:id="rId3"/>
    <sheet name="ICE_Backlog" sheetId="4" r:id="rId4"/>
    <sheet name="What_If" sheetId="5" r:id="rId5"/>
    <sheet name="QA_Checks" sheetId="6" r:id="rId6"/>
  </sheets>
  <definedNames>
    <definedName name="_xlnm._FilterDatabase" localSheetId="5" hidden="1">QA_Checks!$A$3:$D$12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6" l="1"/>
  <c r="C11" i="6"/>
  <c r="B10" i="6"/>
  <c r="B8" i="6"/>
  <c r="B5" i="6"/>
  <c r="C20" i="5"/>
  <c r="B20" i="5"/>
  <c r="A20" i="5"/>
  <c r="E20" i="5" s="1"/>
  <c r="C19" i="5"/>
  <c r="B19" i="5"/>
  <c r="A19" i="5"/>
  <c r="D19" i="5" s="1"/>
  <c r="C18" i="5"/>
  <c r="B18" i="5"/>
  <c r="A18" i="5"/>
  <c r="D17" i="5"/>
  <c r="C17" i="5"/>
  <c r="B17" i="5"/>
  <c r="A17" i="5"/>
  <c r="C16" i="5"/>
  <c r="B16" i="5"/>
  <c r="A16" i="5"/>
  <c r="C15" i="5"/>
  <c r="B15" i="5"/>
  <c r="A15" i="5"/>
  <c r="F4" i="5"/>
  <c r="E4" i="5"/>
  <c r="B12" i="6" s="1"/>
  <c r="D4" i="5"/>
  <c r="B11" i="6" s="1"/>
  <c r="G9" i="4"/>
  <c r="H9" i="4" s="1"/>
  <c r="G8" i="4"/>
  <c r="G7" i="4"/>
  <c r="G6" i="4"/>
  <c r="H6" i="4" s="1"/>
  <c r="G5" i="4"/>
  <c r="G4" i="4"/>
  <c r="H7" i="4" s="1"/>
  <c r="C9" i="3"/>
  <c r="D9" i="3" s="1"/>
  <c r="F9" i="3" s="1"/>
  <c r="J8" i="4" s="1"/>
  <c r="C8" i="3"/>
  <c r="C7" i="3"/>
  <c r="D7" i="3" s="1"/>
  <c r="F7" i="3" s="1"/>
  <c r="J7" i="4" s="1"/>
  <c r="K7" i="4" s="1"/>
  <c r="C6" i="3"/>
  <c r="D6" i="3" s="1"/>
  <c r="F6" i="3" s="1"/>
  <c r="J9" i="4" s="1"/>
  <c r="K9" i="4" s="1"/>
  <c r="C5" i="3"/>
  <c r="D5" i="3" s="1"/>
  <c r="F5" i="3" s="1"/>
  <c r="J5" i="4" s="1"/>
  <c r="K5" i="4" s="1"/>
  <c r="C4" i="3"/>
  <c r="D4" i="3" s="1"/>
  <c r="B12" i="2"/>
  <c r="B11" i="2"/>
  <c r="D8" i="3" s="1"/>
  <c r="F8" i="3" s="1"/>
  <c r="J6" i="4" s="1"/>
  <c r="K6" i="4" s="1"/>
  <c r="B10" i="2"/>
  <c r="E19" i="5" l="1"/>
  <c r="K8" i="4"/>
  <c r="E17" i="5"/>
  <c r="E16" i="5"/>
  <c r="F4" i="3"/>
  <c r="G8" i="3"/>
  <c r="G5" i="3"/>
  <c r="D10" i="3"/>
  <c r="G7" i="3"/>
  <c r="G9" i="3"/>
  <c r="G4" i="3"/>
  <c r="G6" i="3"/>
  <c r="E18" i="5"/>
  <c r="D18" i="5"/>
  <c r="H5" i="4"/>
  <c r="D16" i="5"/>
  <c r="C10" i="3"/>
  <c r="H8" i="4"/>
  <c r="G4" i="5"/>
  <c r="H4" i="5" s="1"/>
  <c r="I4" i="5" s="1"/>
  <c r="D15" i="5"/>
  <c r="H4" i="4"/>
  <c r="B9" i="6" s="1"/>
  <c r="D20" i="5"/>
  <c r="G10" i="3" l="1"/>
  <c r="B7" i="6"/>
  <c r="B7" i="3"/>
  <c r="I7" i="4" s="1"/>
  <c r="B9" i="3"/>
  <c r="I8" i="4" s="1"/>
  <c r="B4" i="3"/>
  <c r="B8" i="3"/>
  <c r="I6" i="4" s="1"/>
  <c r="C5" i="6"/>
  <c r="B5" i="3"/>
  <c r="I5" i="4" s="1"/>
  <c r="B6" i="3"/>
  <c r="I9" i="4" s="1"/>
  <c r="B4" i="6"/>
  <c r="J4" i="4"/>
  <c r="F10" i="3"/>
  <c r="K4" i="4" l="1"/>
  <c r="E15" i="5"/>
  <c r="I4" i="4"/>
  <c r="B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Portfolio model</author>
  </authors>
  <commentList>
    <comment ref="E4" authorId="0" shapeId="0" xr:uid="{00000000-0006-0000-0200-000001000000}">
      <text>
        <r>
          <rPr>
            <sz val="10"/>
            <rFont val="Arial"/>
            <family val="2"/>
          </rPr>
          <t>Analyst planning assumption for portfolio prioritization; update when evidence is available.</t>
        </r>
      </text>
    </comment>
    <comment ref="E5" authorId="0" shapeId="0" xr:uid="{00000000-0006-0000-0200-000002000000}">
      <text>
        <r>
          <rPr>
            <sz val="10"/>
            <rFont val="Arial"/>
            <family val="2"/>
          </rPr>
          <t>Analyst planning assumption for portfolio prioritization; update when evidence is available.</t>
        </r>
      </text>
    </comment>
    <comment ref="E6" authorId="0" shapeId="0" xr:uid="{00000000-0006-0000-0200-000003000000}">
      <text>
        <r>
          <rPr>
            <sz val="10"/>
            <rFont val="Arial"/>
            <family val="2"/>
          </rPr>
          <t>Analyst planning assumption for portfolio prioritization; update when evidence is available.</t>
        </r>
      </text>
    </comment>
    <comment ref="E7" authorId="0" shapeId="0" xr:uid="{00000000-0006-0000-0200-000004000000}">
      <text>
        <r>
          <rPr>
            <sz val="10"/>
            <rFont val="Arial"/>
            <family val="2"/>
          </rPr>
          <t>Analyst planning assumption for portfolio prioritization; update when evidence is available.</t>
        </r>
      </text>
    </comment>
    <comment ref="E8" authorId="0" shapeId="0" xr:uid="{00000000-0006-0000-0200-000005000000}">
      <text>
        <r>
          <rPr>
            <sz val="10"/>
            <rFont val="Arial"/>
            <family val="2"/>
          </rPr>
          <t>Analyst planning assumption for portfolio prioritization; update when evidence is available.</t>
        </r>
      </text>
    </comment>
    <comment ref="E9" authorId="0" shapeId="0" xr:uid="{00000000-0006-0000-0200-000006000000}">
      <text>
        <r>
          <rPr>
            <sz val="10"/>
            <rFont val="Arial"/>
            <family val="2"/>
          </rPr>
          <t>Analyst planning assumption for portfolio prioritization; update when evidence is available.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Portfolio model</author>
  </authors>
  <commentList>
    <comment ref="D4" authorId="0" shapeId="0" xr:uid="{00000000-0006-0000-0300-000001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E4" authorId="0" shapeId="0" xr:uid="{00000000-0006-0000-0300-000007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F4" authorId="0" shapeId="0" xr:uid="{00000000-0006-0000-0300-00000D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D5" authorId="0" shapeId="0" xr:uid="{00000000-0006-0000-0300-000002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E5" authorId="0" shapeId="0" xr:uid="{00000000-0006-0000-0300-000008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F5" authorId="0" shapeId="0" xr:uid="{00000000-0006-0000-0300-00000E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D6" authorId="0" shapeId="0" xr:uid="{00000000-0006-0000-0300-000003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E6" authorId="0" shapeId="0" xr:uid="{00000000-0006-0000-0300-000009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F6" authorId="0" shapeId="0" xr:uid="{00000000-0006-0000-0300-00000F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D7" authorId="0" shapeId="0" xr:uid="{00000000-0006-0000-0300-000004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E7" authorId="0" shapeId="0" xr:uid="{00000000-0006-0000-0300-00000A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F7" authorId="0" shapeId="0" xr:uid="{00000000-0006-0000-0300-000010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D8" authorId="0" shapeId="0" xr:uid="{00000000-0006-0000-0300-000005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E8" authorId="0" shapeId="0" xr:uid="{00000000-0006-0000-0300-00000B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F8" authorId="0" shapeId="0" xr:uid="{00000000-0006-0000-0300-000011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D9" authorId="0" shapeId="0" xr:uid="{00000000-0006-0000-0300-000006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E9" authorId="0" shapeId="0" xr:uid="{00000000-0006-0000-0300-00000C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  <comment ref="F9" authorId="0" shapeId="0" xr:uid="{00000000-0006-0000-0300-000012000000}">
      <text>
        <r>
          <rPr>
            <sz val="10"/>
            <rFont val="Arial"/>
            <family val="2"/>
          </rPr>
          <t>Analyst hypothesis score (1–10), not a measured source value. Revise as evidence becomes available.</t>
        </r>
      </text>
    </comment>
  </commentList>
</comments>
</file>

<file path=xl/sharedStrings.xml><?xml version="1.0" encoding="utf-8"?>
<sst xmlns="http://schemas.openxmlformats.org/spreadsheetml/2006/main" count="191" uniqueCount="144">
  <si>
    <t>Epic 5 — Prioritization Model | E-Commerce CRO Analytics</t>
  </si>
  <si>
    <t>PROJECT-READY • Formula QA • Synthetic data • INDEX/MATCH compatible</t>
  </si>
  <si>
    <t>Purpose</t>
  </si>
  <si>
    <t>Excel model for Q3 cart-abandonment root-cause prioritization, using ICE scoring plus an AOV × conversion-lift what-if calculator.</t>
  </si>
  <si>
    <t>Source basis</t>
  </si>
  <si>
    <t>Ireland_prep.docx defines Epic 5 as: build ICE/PIE scoring with live formulas; build an AOV × conversion-lift what-if using XLOOKUP/INDEX-MATCH; rank the backlog. This workbook uses INDEX/MATCH for broader Excel compatibility.</t>
  </si>
  <si>
    <t>Synthetic-data policy</t>
  </si>
  <si>
    <t>All project data is synthetic. No real client data, screenshots, brand names, or live GA4 exports are used.</t>
  </si>
  <si>
    <t>Orders source logic</t>
  </si>
  <si>
    <t>Cart_abdn.py defines abandonment as sessions whose exit_page is Cart or Checkout. The supplied Sessions_table.py generates 1,800 sessions, producing 322 Cart/Checkout abandonment sessions; the workbook now uses that generated count.</t>
  </si>
  <si>
    <t>Abandonment source logic</t>
  </si>
  <si>
    <t>1) Review source-backed inputs. 2) Review generated abandonment counts and reason shares. 3) Adjust only the blue recoverability / ICE hypothesis cells. 4) Use What_If for scenario testing.</t>
  </si>
  <si>
    <t>Important limitation</t>
  </si>
  <si>
    <t>The supplied Sessions_table.py generates 1,800 sessions; Cart_abdn.py defines abandonment as sessions exiting at Cart or Checkout. With the supplied seed and logic, this yields 322 abandonment sessions. Revenue remains a planning estimate based on the supplied AOV-generation parameters.</t>
  </si>
  <si>
    <t>How to use</t>
  </si>
  <si>
    <t>1) Edit blue input cells on Inputs. 2) Review reason shares on Abandonment. 3) Adjust fix assumptions and inspect ICE_Backlog. 4) Use What_If for scenario testing.</t>
  </si>
  <si>
    <t>Generated session check</t>
  </si>
  <si>
    <t>1,800 sessions generated; 322 exit at Cart/Checkout under the supplied Sessions_table.py seed/logic and feed Cart_abdn.py.</t>
  </si>
  <si>
    <t>Model Inputs</t>
  </si>
  <si>
    <t>Input</t>
  </si>
  <si>
    <t>Value</t>
  </si>
  <si>
    <t>Unit</t>
  </si>
  <si>
    <t>Source / rationale</t>
  </si>
  <si>
    <t>Editable?</t>
  </si>
  <si>
    <t>Total orders</t>
  </si>
  <si>
    <t>orders</t>
  </si>
  <si>
    <t>Orders_table.py: total_orders = 850</t>
  </si>
  <si>
    <t>No</t>
  </si>
  <si>
    <t>Completion rate</t>
  </si>
  <si>
    <t>%</t>
  </si>
  <si>
    <t>Orders_table.py: 92% complete</t>
  </si>
  <si>
    <t>Discount usage rate</t>
  </si>
  <si>
    <t>Orders_table.py: 30% discount usage</t>
  </si>
  <si>
    <t>Lognormal AOV mean parameter</t>
  </si>
  <si>
    <t>ln(AOV)</t>
  </si>
  <si>
    <t>Orders_table.py: mean=4.0</t>
  </si>
  <si>
    <t>Lognormal AOV sigma</t>
  </si>
  <si>
    <t>Orders_table.py: sigma=0.6</t>
  </si>
  <si>
    <t>Generated cart/checkout abandonment sessions</t>
  </si>
  <si>
    <t>sessions</t>
  </si>
  <si>
    <t>Sessions_table.py: 1,800 sessions; Cart_abdn.py uses Cart + Checkout exits.</t>
  </si>
  <si>
    <t>Base conversion rate</t>
  </si>
  <si>
    <t>Completed orders ÷ total orders; formula</t>
  </si>
  <si>
    <t>Theoretical mean AOV</t>
  </si>
  <si>
    <t>€</t>
  </si>
  <si>
    <t>Derived from supplied lognormal parameters; formula</t>
  </si>
  <si>
    <t>Theoretical median AOV</t>
  </si>
  <si>
    <t>Data note</t>
  </si>
  <si>
    <t>The supplied Sessions_table.py generates 1,800 sessions. Cart_abdn.py defines abandonment as sessions exiting at Cart or Checkout. The generated source logic produces 322 such sessions.</t>
  </si>
  <si>
    <t>Abandonment Reason Model</t>
  </si>
  <si>
    <t>Reason</t>
  </si>
  <si>
    <t>Source Weight</t>
  </si>
  <si>
    <t>Planning Sessions</t>
  </si>
  <si>
    <t>Estimated Lost Revenue Proxy</t>
  </si>
  <si>
    <t>Recoverability Assumption</t>
  </si>
  <si>
    <t>Recoverable Revenue Proxy</t>
  </si>
  <si>
    <t>Share of Lost Revenue</t>
  </si>
  <si>
    <t>Source</t>
  </si>
  <si>
    <t>Generated Count</t>
  </si>
  <si>
    <t>Size/fit doubt</t>
  </si>
  <si>
    <t>Cart_abdn.py weighted draw</t>
  </si>
  <si>
    <t>Shipping cost too high</t>
  </si>
  <si>
    <t>Just browsing/saved for later</t>
  </si>
  <si>
    <t>Found better price elsewhere</t>
  </si>
  <si>
    <t>Payment method declined</t>
  </si>
  <si>
    <t>Website technical error</t>
  </si>
  <si>
    <t>Total / weighted view</t>
  </si>
  <si>
    <t>Planning revenue proxy = abandonment sessions × theoretical mean AOV from the supplied lognormal generation parameters; recoverability is an analyst hypothesis, not observed revenue.</t>
  </si>
  <si>
    <t>ICE Prioritization Backlog</t>
  </si>
  <si>
    <t>Fix ID</t>
  </si>
  <si>
    <t>Proposed Fix</t>
  </si>
  <si>
    <t>Impact Score (1–10)</t>
  </si>
  <si>
    <t>Confidence (1–10)</t>
  </si>
  <si>
    <t>Ease (1–10)</t>
  </si>
  <si>
    <t>ICE Score</t>
  </si>
  <si>
    <t>Rank</t>
  </si>
  <si>
    <t>Reason Share</t>
  </si>
  <si>
    <t>Recoverable Revenue</t>
  </si>
  <si>
    <t>Projected Monthly Revenue</t>
  </si>
  <si>
    <t>Status</t>
  </si>
  <si>
    <t>Rationale</t>
  </si>
  <si>
    <t>FIX-01</t>
  </si>
  <si>
    <t>Add fit guide + size recommendation</t>
  </si>
  <si>
    <t>In discovery</t>
  </si>
  <si>
    <t>Score assumptions are analyst hypotheses for portfolio prioritization; revise as evidence becomes available.</t>
  </si>
  <si>
    <t>FIX-02</t>
  </si>
  <si>
    <t>Show shipping cost/threshold earlier</t>
  </si>
  <si>
    <t>FIX-03</t>
  </si>
  <si>
    <t>Add payment-method fallback + clearer errors</t>
  </si>
  <si>
    <t>FIX-04</t>
  </si>
  <si>
    <t>Strengthen price/value messaging</t>
  </si>
  <si>
    <t>FIX-05</t>
  </si>
  <si>
    <t>Improve technical error recovery + retry</t>
  </si>
  <si>
    <t>FIX-06</t>
  </si>
  <si>
    <t>Add save-for-later / wishlist prompt</t>
  </si>
  <si>
    <t>Formula note</t>
  </si>
  <si>
    <t>ICE Score = Impact × Confidence × Ease / 1000. Impact is a 1–10 hypothesis score; revenue is separately formula-derived from the abandonment model.</t>
  </si>
  <si>
    <t>ICE Score = Impact × Confidence × Ease / 1000. Lookup fields use INDEX/MATCH for compatibility. Impact is a 1–10 hypothesis score; revenue is formula-derived from the abandonment model.</t>
  </si>
  <si>
    <t>AOV × Conversion-Lift What-If Calculator</t>
  </si>
  <si>
    <t>Scenario</t>
  </si>
  <si>
    <t>AOV (€)</t>
  </si>
  <si>
    <t>Conversion Lift</t>
  </si>
  <si>
    <t>Selected AOV</t>
  </si>
  <si>
    <t>Selected Lift</t>
  </si>
  <si>
    <t>Base Completed Orders</t>
  </si>
  <si>
    <t>Incremental Orders</t>
  </si>
  <si>
    <t>Incremental Revenue</t>
  </si>
  <si>
    <t>Annualized Revenue</t>
  </si>
  <si>
    <t>Formula</t>
  </si>
  <si>
    <t>Conservative</t>
  </si>
  <si>
    <t>Incremental orders = base completed orders × lift; revenue = incremental orders × selected AOV.</t>
  </si>
  <si>
    <t>Base</t>
  </si>
  <si>
    <t>Upside</t>
  </si>
  <si>
    <t>Selected scenario</t>
  </si>
  <si>
    <t>How this supports Epic 5</t>
  </si>
  <si>
    <t>Use the selector to test the revenue effect of a hypothetical conversion lift at different AOV levels. Scenario values are planning assumptions and should be replaced with evidence where available.</t>
  </si>
  <si>
    <t>Fix</t>
  </si>
  <si>
    <t>INDEX/MATCH source</t>
  </si>
  <si>
    <t>ICE_Backlog</t>
  </si>
  <si>
    <t>Epic 5 — Model QA Checks</t>
  </si>
  <si>
    <t>Check</t>
  </si>
  <si>
    <t>Result</t>
  </si>
  <si>
    <t>Expected</t>
  </si>
  <si>
    <t>Interpretation</t>
  </si>
  <si>
    <t>Abandonment count ties to generated source logic</t>
  </si>
  <si>
    <t>Cart + Checkout exits from 1,800 sessions</t>
  </si>
  <si>
    <t>Abandonment reason counts sum to total</t>
  </si>
  <si>
    <t>Generated reason rows reconcile to abandonment sessions</t>
  </si>
  <si>
    <t>Reason shares sum to 100%</t>
  </si>
  <si>
    <t>Weighted draw probabilities reconcile</t>
  </si>
  <si>
    <t>Revenue-share percentages sum to 100%</t>
  </si>
  <si>
    <t>Revenue proxy allocation reconciles</t>
  </si>
  <si>
    <t>ICE backlog has 6 fixes</t>
  </si>
  <si>
    <t>Six proposed fixes</t>
  </si>
  <si>
    <t>ICE ranks cover 1–6</t>
  </si>
  <si>
    <t>Every fix receives a rank</t>
  </si>
  <si>
    <t>What-if selector is populated</t>
  </si>
  <si>
    <t>Scenario selector has a valid value</t>
  </si>
  <si>
    <t>What-if selected AOV is numeric</t>
  </si>
  <si>
    <t>Lookup returns a numeric AOV</t>
  </si>
  <si>
    <t>What-if selected lift is numeric</t>
  </si>
  <si>
    <t>Lookup returns a numeric conversion lift</t>
  </si>
  <si>
    <t>Compatibility note</t>
  </si>
  <si>
    <t>INDEX/MATCH is used instead of XLOOKUP in the live lookup formulas so the workbook is less dependent on newer Excel function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</si>
</sst>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€#,##0.00"/>
    <numFmt numFmtId="166" formatCode="#,##0.0"/>
    <numFmt numFmtId="167" formatCode="0.000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1"/>
      <color rgb="FF1F4E78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0"/>
      <name val="Arial"/>
      <family val="2"/>
    </font>
    <font>
      <b/>
      <sz val="14"/>
      <color rgb="FFFFFFF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2F2F2"/>
        <bgColor rgb="FFE2F0D9"/>
      </patternFill>
    </fill>
    <fill>
      <patternFill patternType="solid">
        <fgColor rgb="FFD9EAF7"/>
        <bgColor rgb="FFD9E1F2"/>
      </patternFill>
    </fill>
    <fill>
      <patternFill patternType="solid">
        <fgColor rgb="FFE2F0D9"/>
        <bgColor rgb="FFD9EAF7"/>
      </patternFill>
    </fill>
    <fill>
      <patternFill patternType="solid">
        <fgColor rgb="FF1F4E78"/>
        <bgColor rgb="FF1736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left" vertical="top" wrapText="1"/>
    </xf>
    <xf numFmtId="165" fontId="0" fillId="3" borderId="1" xfId="0" applyNumberForma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164" fontId="0" fillId="4" borderId="0" xfId="0" applyNumberFormat="1" applyFill="1" applyAlignment="1">
      <alignment horizontal="left" vertical="top" wrapText="1"/>
    </xf>
    <xf numFmtId="166" fontId="3" fillId="0" borderId="0" xfId="0" applyNumberFormat="1" applyFont="1" applyAlignment="1">
      <alignment horizontal="left" vertical="top" wrapText="1"/>
    </xf>
    <xf numFmtId="165" fontId="3" fillId="0" borderId="0" xfId="0" applyNumberFormat="1" applyFont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165" fontId="0" fillId="5" borderId="0" xfId="0" applyNumberFormat="1" applyFill="1" applyAlignment="1">
      <alignment horizontal="left" vertical="top" wrapText="1"/>
    </xf>
    <xf numFmtId="164" fontId="0" fillId="5" borderId="0" xfId="0" applyNumberFormat="1" applyFill="1" applyAlignment="1">
      <alignment horizontal="left" vertical="top" wrapText="1"/>
    </xf>
    <xf numFmtId="166" fontId="0" fillId="5" borderId="0" xfId="0" applyNumberFormat="1" applyFill="1" applyAlignment="1">
      <alignment horizontal="left" vertical="top" wrapText="1"/>
    </xf>
    <xf numFmtId="0" fontId="4" fillId="6" borderId="0" xfId="0" applyFont="1" applyFill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0" fontId="0" fillId="0" borderId="2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2F2F2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bandonmentTable" displayName="AbandonmentTable" ref="A3:H9" totalsRowShown="0">
  <autoFilter ref="A3:H9" xr:uid="{00000000-0009-0000-0100-000001000000}"/>
  <tableColumns count="8">
    <tableColumn id="1" xr3:uid="{00000000-0010-0000-0000-000001000000}" name="Reason"/>
    <tableColumn id="2" xr3:uid="{00000000-0010-0000-0000-000002000000}" name="Source Weight"/>
    <tableColumn id="3" xr3:uid="{00000000-0010-0000-0000-000003000000}" name="Planning Sessions"/>
    <tableColumn id="4" xr3:uid="{00000000-0010-0000-0000-000004000000}" name="Estimated Lost Revenue Proxy"/>
    <tableColumn id="5" xr3:uid="{00000000-0010-0000-0000-000005000000}" name="Recoverability Assumption"/>
    <tableColumn id="6" xr3:uid="{00000000-0010-0000-0000-000006000000}" name="Recoverable Revenue Proxy"/>
    <tableColumn id="7" xr3:uid="{00000000-0010-0000-0000-000007000000}" name="Share of Lost Revenue"/>
    <tableColumn id="8" xr3:uid="{00000000-0010-0000-0000-000008000000}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CEBacklogTable" displayName="ICEBacklogTable" ref="A3:M9" totalsRowShown="0">
  <autoFilter ref="A3:M9" xr:uid="{00000000-0009-0000-0100-000002000000}"/>
  <tableColumns count="13">
    <tableColumn id="1" xr3:uid="{00000000-0010-0000-0100-000001000000}" name="Fix ID"/>
    <tableColumn id="2" xr3:uid="{00000000-0010-0000-0100-000002000000}" name="Proposed Fix"/>
    <tableColumn id="3" xr3:uid="{00000000-0010-0000-0100-000003000000}" name="Reason"/>
    <tableColumn id="4" xr3:uid="{00000000-0010-0000-0100-000004000000}" name="Impact Score (1–10)"/>
    <tableColumn id="5" xr3:uid="{00000000-0010-0000-0100-000005000000}" name="Confidence (1–10)"/>
    <tableColumn id="6" xr3:uid="{00000000-0010-0000-0100-000006000000}" name="Ease (1–10)"/>
    <tableColumn id="7" xr3:uid="{00000000-0010-0000-0100-000007000000}" name="ICE Score"/>
    <tableColumn id="8" xr3:uid="{00000000-0010-0000-0100-000008000000}" name="Rank"/>
    <tableColumn id="9" xr3:uid="{00000000-0010-0000-0100-000009000000}" name="Reason Share"/>
    <tableColumn id="10" xr3:uid="{00000000-0010-0000-0100-00000A000000}" name="Recoverable Revenue"/>
    <tableColumn id="11" xr3:uid="{00000000-0010-0000-0100-00000B000000}" name="Projected Monthly Revenue"/>
    <tableColumn id="12" xr3:uid="{00000000-0010-0000-0100-00000C000000}" name="Status"/>
    <tableColumn id="13" xr3:uid="{00000000-0010-0000-0100-00000D000000}" name="Rationa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"/>
  <sheetViews>
    <sheetView showGridLines="0" zoomScale="90" zoomScaleNormal="90" workbookViewId="0">
      <selection activeCell="B8" sqref="B8"/>
    </sheetView>
  </sheetViews>
  <sheetFormatPr defaultColWidth="8.6640625" defaultRowHeight="15" customHeight="1" x14ac:dyDescent="0.3"/>
  <cols>
    <col min="1" max="1" width="28" customWidth="1"/>
    <col min="2" max="2" width="105" customWidth="1"/>
  </cols>
  <sheetData>
    <row r="1" spans="1:7" ht="25.5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ht="14.4" x14ac:dyDescent="0.3">
      <c r="A2" s="3" t="s">
        <v>1</v>
      </c>
      <c r="B2" s="3"/>
      <c r="C2" s="3"/>
      <c r="D2" s="3"/>
      <c r="E2" s="3"/>
      <c r="F2" s="3"/>
      <c r="G2" s="3"/>
    </row>
    <row r="3" spans="1:7" ht="28.8" x14ac:dyDescent="0.3">
      <c r="A3" s="5" t="s">
        <v>2</v>
      </c>
      <c r="B3" s="6" t="s">
        <v>3</v>
      </c>
    </row>
    <row r="4" spans="1:7" ht="28.8" x14ac:dyDescent="0.3">
      <c r="A4" s="5" t="s">
        <v>4</v>
      </c>
      <c r="B4" s="6" t="s">
        <v>5</v>
      </c>
    </row>
    <row r="5" spans="1:7" ht="14.4" x14ac:dyDescent="0.3">
      <c r="A5" s="5" t="s">
        <v>6</v>
      </c>
      <c r="B5" s="6" t="s">
        <v>7</v>
      </c>
    </row>
    <row r="6" spans="1:7" ht="43.2" x14ac:dyDescent="0.3">
      <c r="A6" s="5" t="s">
        <v>8</v>
      </c>
      <c r="B6" s="6" t="s">
        <v>9</v>
      </c>
    </row>
    <row r="7" spans="1:7" ht="28.8" x14ac:dyDescent="0.3">
      <c r="A7" s="5" t="s">
        <v>10</v>
      </c>
      <c r="B7" s="6" t="s">
        <v>11</v>
      </c>
    </row>
    <row r="8" spans="1:7" ht="43.2" x14ac:dyDescent="0.3">
      <c r="A8" s="5" t="s">
        <v>12</v>
      </c>
      <c r="B8" s="6" t="s">
        <v>13</v>
      </c>
    </row>
    <row r="9" spans="1:7" ht="28.8" x14ac:dyDescent="0.3">
      <c r="A9" s="5" t="s">
        <v>14</v>
      </c>
      <c r="B9" s="6" t="s">
        <v>15</v>
      </c>
    </row>
    <row r="10" spans="1:7" ht="14.4" x14ac:dyDescent="0.3">
      <c r="A10" s="5" t="s">
        <v>16</v>
      </c>
      <c r="B10" s="6" t="s">
        <v>17</v>
      </c>
    </row>
  </sheetData>
  <mergeCells count="2">
    <mergeCell ref="A1:G1"/>
    <mergeCell ref="A2:G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4"/>
  <sheetViews>
    <sheetView showGridLines="0" zoomScale="90" zoomScaleNormal="90" workbookViewId="0">
      <pane ySplit="3" topLeftCell="A4" activePane="bottomLeft" state="frozen"/>
      <selection pane="bottomLeft" sqref="A1:E1"/>
    </sheetView>
  </sheetViews>
  <sheetFormatPr defaultColWidth="8.6640625" defaultRowHeight="15" customHeight="1" x14ac:dyDescent="0.3"/>
  <cols>
    <col min="1" max="1" width="34" customWidth="1"/>
    <col min="2" max="2" width="18" customWidth="1"/>
    <col min="3" max="3" width="16" customWidth="1"/>
    <col min="4" max="4" width="62" customWidth="1"/>
    <col min="5" max="5" width="14" customWidth="1"/>
  </cols>
  <sheetData>
    <row r="1" spans="1:5" ht="25.5" customHeight="1" x14ac:dyDescent="0.3">
      <c r="A1" s="4" t="s">
        <v>18</v>
      </c>
      <c r="B1" s="4"/>
      <c r="C1" s="4"/>
      <c r="D1" s="4"/>
      <c r="E1" s="4"/>
    </row>
    <row r="3" spans="1:5" ht="14.4" x14ac:dyDescent="0.3">
      <c r="A3" s="7" t="s">
        <v>19</v>
      </c>
      <c r="B3" s="7" t="s">
        <v>20</v>
      </c>
      <c r="C3" s="7" t="s">
        <v>21</v>
      </c>
      <c r="D3" s="7" t="s">
        <v>22</v>
      </c>
      <c r="E3" s="7" t="s">
        <v>23</v>
      </c>
    </row>
    <row r="4" spans="1:5" ht="14.4" x14ac:dyDescent="0.3">
      <c r="A4" s="6" t="s">
        <v>24</v>
      </c>
      <c r="B4" s="8">
        <v>850</v>
      </c>
      <c r="C4" s="6" t="s">
        <v>25</v>
      </c>
      <c r="D4" s="6" t="s">
        <v>26</v>
      </c>
      <c r="E4" s="6" t="s">
        <v>27</v>
      </c>
    </row>
    <row r="5" spans="1:5" ht="14.4" x14ac:dyDescent="0.3">
      <c r="A5" s="6" t="s">
        <v>28</v>
      </c>
      <c r="B5" s="9">
        <v>0.92</v>
      </c>
      <c r="C5" s="6" t="s">
        <v>29</v>
      </c>
      <c r="D5" s="6" t="s">
        <v>30</v>
      </c>
      <c r="E5" s="6" t="s">
        <v>27</v>
      </c>
    </row>
    <row r="6" spans="1:5" ht="14.4" x14ac:dyDescent="0.3">
      <c r="A6" s="6" t="s">
        <v>31</v>
      </c>
      <c r="B6" s="9">
        <v>0.3</v>
      </c>
      <c r="C6" s="6" t="s">
        <v>29</v>
      </c>
      <c r="D6" s="6" t="s">
        <v>32</v>
      </c>
      <c r="E6" s="6" t="s">
        <v>27</v>
      </c>
    </row>
    <row r="7" spans="1:5" ht="14.4" x14ac:dyDescent="0.3">
      <c r="A7" s="6" t="s">
        <v>33</v>
      </c>
      <c r="B7" s="8">
        <v>4</v>
      </c>
      <c r="C7" s="6" t="s">
        <v>34</v>
      </c>
      <c r="D7" s="6" t="s">
        <v>35</v>
      </c>
      <c r="E7" s="6" t="s">
        <v>27</v>
      </c>
    </row>
    <row r="8" spans="1:5" ht="14.4" x14ac:dyDescent="0.3">
      <c r="A8" s="6" t="s">
        <v>36</v>
      </c>
      <c r="B8" s="8">
        <v>0.6</v>
      </c>
      <c r="C8" s="6" t="s">
        <v>34</v>
      </c>
      <c r="D8" s="6" t="s">
        <v>37</v>
      </c>
      <c r="E8" s="6" t="s">
        <v>27</v>
      </c>
    </row>
    <row r="9" spans="1:5" ht="28.8" x14ac:dyDescent="0.3">
      <c r="A9" s="6" t="s">
        <v>38</v>
      </c>
      <c r="B9" s="8">
        <v>322</v>
      </c>
      <c r="C9" s="6" t="s">
        <v>39</v>
      </c>
      <c r="D9" s="6" t="s">
        <v>40</v>
      </c>
      <c r="E9" s="6" t="s">
        <v>27</v>
      </c>
    </row>
    <row r="10" spans="1:5" ht="14.4" x14ac:dyDescent="0.3">
      <c r="A10" s="6" t="s">
        <v>41</v>
      </c>
      <c r="B10" s="9">
        <f>IF(B4=0,0,(B4*B5)/B4)</f>
        <v>0.92</v>
      </c>
      <c r="C10" s="6" t="s">
        <v>29</v>
      </c>
      <c r="D10" s="6" t="s">
        <v>42</v>
      </c>
      <c r="E10" s="6" t="s">
        <v>27</v>
      </c>
    </row>
    <row r="11" spans="1:5" ht="14.4" x14ac:dyDescent="0.3">
      <c r="A11" s="6" t="s">
        <v>43</v>
      </c>
      <c r="B11" s="10">
        <f>EXP(B7+(B8^2)/2)</f>
        <v>65.365853214009903</v>
      </c>
      <c r="C11" s="6" t="s">
        <v>44</v>
      </c>
      <c r="D11" s="6" t="s">
        <v>45</v>
      </c>
      <c r="E11" s="6" t="s">
        <v>27</v>
      </c>
    </row>
    <row r="12" spans="1:5" ht="14.4" x14ac:dyDescent="0.3">
      <c r="A12" s="6" t="s">
        <v>46</v>
      </c>
      <c r="B12" s="10">
        <f>EXP(B7)</f>
        <v>54.598150033144236</v>
      </c>
      <c r="C12" s="6" t="s">
        <v>44</v>
      </c>
      <c r="D12" s="6" t="s">
        <v>45</v>
      </c>
      <c r="E12" s="6" t="s">
        <v>27</v>
      </c>
    </row>
    <row r="14" spans="1:5" ht="187.2" x14ac:dyDescent="0.3">
      <c r="A14" s="5" t="s">
        <v>47</v>
      </c>
      <c r="B14" s="6" t="s">
        <v>48</v>
      </c>
    </row>
  </sheetData>
  <mergeCells count="1">
    <mergeCell ref="A1:E1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showGridLines="0" zoomScale="90" zoomScaleNormal="90" workbookViewId="0">
      <pane ySplit="3" topLeftCell="A4" activePane="bottomLeft" state="frozen"/>
      <selection pane="bottomLeft" activeCell="H5" sqref="H5"/>
    </sheetView>
  </sheetViews>
  <sheetFormatPr defaultColWidth="8.6640625" defaultRowHeight="15" customHeight="1" x14ac:dyDescent="0.3"/>
  <cols>
    <col min="1" max="1" width="30" customWidth="1"/>
    <col min="2" max="2" width="16" customWidth="1"/>
    <col min="3" max="3" width="17" customWidth="1"/>
    <col min="4" max="5" width="24" customWidth="1"/>
    <col min="6" max="6" width="23" customWidth="1"/>
    <col min="7" max="7" width="18" customWidth="1"/>
    <col min="8" max="8" width="28" customWidth="1"/>
    <col min="9" max="9" width="15" customWidth="1"/>
  </cols>
  <sheetData>
    <row r="1" spans="1:9" ht="25.5" customHeight="1" x14ac:dyDescent="0.3">
      <c r="A1" s="4" t="s">
        <v>49</v>
      </c>
      <c r="B1" s="4"/>
      <c r="C1" s="4"/>
      <c r="D1" s="4"/>
      <c r="E1" s="4"/>
      <c r="F1" s="4"/>
      <c r="G1" s="4"/>
      <c r="H1" s="4"/>
    </row>
    <row r="3" spans="1:9" ht="27.6" x14ac:dyDescent="0.3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11" t="s">
        <v>58</v>
      </c>
    </row>
    <row r="4" spans="1:9" ht="14.4" x14ac:dyDescent="0.3">
      <c r="A4" s="6" t="s">
        <v>59</v>
      </c>
      <c r="B4" s="12">
        <f t="shared" ref="B4:B9" si="0">IF($C$10=0,0,C4/$C$10)</f>
        <v>0.453416149068323</v>
      </c>
      <c r="C4" s="13">
        <f t="shared" ref="C4:C9" si="1">I4</f>
        <v>146</v>
      </c>
      <c r="D4" s="14">
        <f>C4*Inputs!$B$11</f>
        <v>9543.4145692454458</v>
      </c>
      <c r="E4" s="15">
        <v>0.25</v>
      </c>
      <c r="F4" s="14">
        <f t="shared" ref="F4:F9" si="2">D4*E4</f>
        <v>2385.8536423113615</v>
      </c>
      <c r="G4" s="12">
        <f t="shared" ref="G4:G9" si="3">IF(SUM($D$4:$D$9)=0,0,D4/SUM($D$4:$D$9))</f>
        <v>0.453416149068323</v>
      </c>
      <c r="H4" s="6" t="s">
        <v>60</v>
      </c>
      <c r="I4" s="11">
        <v>146</v>
      </c>
    </row>
    <row r="5" spans="1:9" ht="14.4" x14ac:dyDescent="0.3">
      <c r="A5" s="6" t="s">
        <v>61</v>
      </c>
      <c r="B5" s="12">
        <f t="shared" si="0"/>
        <v>0.2391304347826087</v>
      </c>
      <c r="C5" s="13">
        <f t="shared" si="1"/>
        <v>77</v>
      </c>
      <c r="D5" s="14">
        <f>C5*Inputs!$B$11</f>
        <v>5033.1706974787621</v>
      </c>
      <c r="E5" s="15">
        <v>0.2</v>
      </c>
      <c r="F5" s="14">
        <f t="shared" si="2"/>
        <v>1006.6341394957525</v>
      </c>
      <c r="G5" s="12">
        <f t="shared" si="3"/>
        <v>0.2391304347826087</v>
      </c>
      <c r="H5" s="6" t="s">
        <v>60</v>
      </c>
      <c r="I5" s="11">
        <v>77</v>
      </c>
    </row>
    <row r="6" spans="1:9" ht="14.4" x14ac:dyDescent="0.3">
      <c r="A6" s="6" t="s">
        <v>62</v>
      </c>
      <c r="B6" s="12">
        <f t="shared" si="0"/>
        <v>0.14906832298136646</v>
      </c>
      <c r="C6" s="13">
        <f t="shared" si="1"/>
        <v>48</v>
      </c>
      <c r="D6" s="14">
        <f>C6*Inputs!$B$11</f>
        <v>3137.5609542724751</v>
      </c>
      <c r="E6" s="15">
        <v>0.08</v>
      </c>
      <c r="F6" s="14">
        <f t="shared" si="2"/>
        <v>251.00487634179802</v>
      </c>
      <c r="G6" s="12">
        <f t="shared" si="3"/>
        <v>0.14906832298136646</v>
      </c>
      <c r="H6" s="6" t="s">
        <v>60</v>
      </c>
      <c r="I6" s="11">
        <v>48</v>
      </c>
    </row>
    <row r="7" spans="1:9" ht="14.4" x14ac:dyDescent="0.3">
      <c r="A7" s="6" t="s">
        <v>63</v>
      </c>
      <c r="B7" s="12">
        <f t="shared" si="0"/>
        <v>7.1428571428571425E-2</v>
      </c>
      <c r="C7" s="13">
        <f t="shared" si="1"/>
        <v>23</v>
      </c>
      <c r="D7" s="14">
        <f>C7*Inputs!$B$11</f>
        <v>1503.4146239222277</v>
      </c>
      <c r="E7" s="15">
        <v>0.12</v>
      </c>
      <c r="F7" s="14">
        <f t="shared" si="2"/>
        <v>180.40975487066731</v>
      </c>
      <c r="G7" s="12">
        <f t="shared" si="3"/>
        <v>7.1428571428571438E-2</v>
      </c>
      <c r="H7" s="6" t="s">
        <v>60</v>
      </c>
      <c r="I7" s="11">
        <v>23</v>
      </c>
    </row>
    <row r="8" spans="1:9" ht="14.4" x14ac:dyDescent="0.3">
      <c r="A8" s="6" t="s">
        <v>64</v>
      </c>
      <c r="B8" s="12">
        <f t="shared" si="0"/>
        <v>5.2795031055900624E-2</v>
      </c>
      <c r="C8" s="13">
        <f t="shared" si="1"/>
        <v>17</v>
      </c>
      <c r="D8" s="14">
        <f>C8*Inputs!$B$11</f>
        <v>1111.2195046381682</v>
      </c>
      <c r="E8" s="15">
        <v>0.35</v>
      </c>
      <c r="F8" s="14">
        <f t="shared" si="2"/>
        <v>388.92682662335886</v>
      </c>
      <c r="G8" s="12">
        <f t="shared" si="3"/>
        <v>5.2795031055900617E-2</v>
      </c>
      <c r="H8" s="6" t="s">
        <v>60</v>
      </c>
      <c r="I8" s="11">
        <v>17</v>
      </c>
    </row>
    <row r="9" spans="1:9" ht="14.4" x14ac:dyDescent="0.3">
      <c r="A9" s="6" t="s">
        <v>65</v>
      </c>
      <c r="B9" s="12">
        <f t="shared" si="0"/>
        <v>3.4161490683229816E-2</v>
      </c>
      <c r="C9" s="13">
        <f t="shared" si="1"/>
        <v>11</v>
      </c>
      <c r="D9" s="14">
        <f>C9*Inputs!$B$11</f>
        <v>719.02438535410897</v>
      </c>
      <c r="E9" s="15">
        <v>0.5</v>
      </c>
      <c r="F9" s="14">
        <f t="shared" si="2"/>
        <v>359.51219267705449</v>
      </c>
      <c r="G9" s="12">
        <f t="shared" si="3"/>
        <v>3.4161490683229816E-2</v>
      </c>
      <c r="H9" s="6" t="s">
        <v>60</v>
      </c>
      <c r="I9" s="11">
        <v>11</v>
      </c>
    </row>
    <row r="10" spans="1:9" ht="14.4" x14ac:dyDescent="0.3">
      <c r="A10" s="5" t="s">
        <v>66</v>
      </c>
      <c r="C10" s="16">
        <f>SUM(C4:C9)</f>
        <v>322</v>
      </c>
      <c r="D10" s="17">
        <f>SUM(D4:D9)</f>
        <v>21047.804734911188</v>
      </c>
      <c r="F10" s="17">
        <f>SUM(F4:F9)</f>
        <v>4572.3414323199922</v>
      </c>
      <c r="G10" s="12">
        <f>SUM(G4:G9)</f>
        <v>1</v>
      </c>
    </row>
    <row r="12" spans="1:9" ht="216" x14ac:dyDescent="0.3">
      <c r="A12" s="5" t="s">
        <v>47</v>
      </c>
      <c r="B12" s="6" t="s">
        <v>67</v>
      </c>
      <c r="D12" s="11" t="s">
        <v>67</v>
      </c>
    </row>
  </sheetData>
  <mergeCells count="1">
    <mergeCell ref="A1:H1"/>
  </mergeCells>
  <conditionalFormatting sqref="G4: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1"/>
  <sheetViews>
    <sheetView showGridLines="0" topLeftCell="C1" zoomScale="90" zoomScaleNormal="90" workbookViewId="0">
      <pane ySplit="3" topLeftCell="A4" activePane="bottomLeft" state="frozen"/>
      <selection pane="bottomLeft" activeCell="E8" sqref="E8"/>
    </sheetView>
  </sheetViews>
  <sheetFormatPr defaultColWidth="8.6640625" defaultRowHeight="15" customHeight="1" x14ac:dyDescent="0.3"/>
  <cols>
    <col min="1" max="1" width="12" customWidth="1"/>
    <col min="2" max="2" width="38" customWidth="1"/>
    <col min="3" max="3" width="30" customWidth="1"/>
    <col min="4" max="5" width="16" customWidth="1"/>
    <col min="6" max="6" width="14" customWidth="1"/>
    <col min="7" max="7" width="12" customWidth="1"/>
    <col min="8" max="8" width="10" customWidth="1"/>
    <col min="9" max="9" width="14" customWidth="1"/>
    <col min="10" max="10" width="20" customWidth="1"/>
    <col min="11" max="11" width="22" customWidth="1"/>
    <col min="12" max="12" width="16" customWidth="1"/>
    <col min="13" max="13" width="62" customWidth="1"/>
  </cols>
  <sheetData>
    <row r="1" spans="1:13" ht="25.5" customHeight="1" x14ac:dyDescent="0.3">
      <c r="A1" s="4" t="s">
        <v>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27.6" x14ac:dyDescent="0.3">
      <c r="A3" s="7" t="s">
        <v>69</v>
      </c>
      <c r="B3" s="7" t="s">
        <v>70</v>
      </c>
      <c r="C3" s="7" t="s">
        <v>50</v>
      </c>
      <c r="D3" s="7" t="s">
        <v>71</v>
      </c>
      <c r="E3" s="7" t="s">
        <v>72</v>
      </c>
      <c r="F3" s="7" t="s">
        <v>73</v>
      </c>
      <c r="G3" s="7" t="s">
        <v>74</v>
      </c>
      <c r="H3" s="7" t="s">
        <v>75</v>
      </c>
      <c r="I3" s="7" t="s">
        <v>76</v>
      </c>
      <c r="J3" s="7" t="s">
        <v>77</v>
      </c>
      <c r="K3" s="7" t="s">
        <v>78</v>
      </c>
      <c r="L3" s="7" t="s">
        <v>79</v>
      </c>
      <c r="M3" s="7" t="s">
        <v>80</v>
      </c>
    </row>
    <row r="4" spans="1:13" ht="28.8" x14ac:dyDescent="0.3">
      <c r="A4" s="6" t="s">
        <v>81</v>
      </c>
      <c r="B4" s="6" t="s">
        <v>82</v>
      </c>
      <c r="C4" s="6" t="s">
        <v>59</v>
      </c>
      <c r="D4" s="18">
        <v>8</v>
      </c>
      <c r="E4" s="18">
        <v>7</v>
      </c>
      <c r="F4" s="18">
        <v>7</v>
      </c>
      <c r="G4" s="19">
        <f t="shared" ref="G4:G9" si="0">D4*E4*F4/1000</f>
        <v>0.39200000000000002</v>
      </c>
      <c r="H4" s="6">
        <f t="shared" ref="H4:H9" si="1">RANK(G4,$G$4:$G$9,0)</f>
        <v>1</v>
      </c>
      <c r="I4" s="12">
        <f>IFERROR(INDEX(Abandonment!$B$4:$B$9,MATCH(C4,Abandonment!$A$4:$A$9,0)),0)</f>
        <v>0.453416149068323</v>
      </c>
      <c r="J4" s="14">
        <f>IFERROR(INDEX(Abandonment!$F$4:$F$9,MATCH(C4,Abandonment!$A$4:$A$9,0)),0)</f>
        <v>2385.8536423113615</v>
      </c>
      <c r="K4" s="14">
        <f t="shared" ref="K4:K9" si="2">J4</f>
        <v>2385.8536423113615</v>
      </c>
      <c r="L4" s="6" t="s">
        <v>83</v>
      </c>
      <c r="M4" s="6" t="s">
        <v>84</v>
      </c>
    </row>
    <row r="5" spans="1:13" ht="28.8" x14ac:dyDescent="0.3">
      <c r="A5" s="6" t="s">
        <v>85</v>
      </c>
      <c r="B5" s="6" t="s">
        <v>86</v>
      </c>
      <c r="C5" s="6" t="s">
        <v>61</v>
      </c>
      <c r="D5" s="18">
        <v>8</v>
      </c>
      <c r="E5" s="18">
        <v>8</v>
      </c>
      <c r="F5" s="18">
        <v>6</v>
      </c>
      <c r="G5" s="19">
        <f t="shared" si="0"/>
        <v>0.38400000000000001</v>
      </c>
      <c r="H5" s="6">
        <f t="shared" si="1"/>
        <v>2</v>
      </c>
      <c r="I5" s="12">
        <f>IFERROR(INDEX(Abandonment!$B$4:$B$9,MATCH(C5,Abandonment!$A$4:$A$9,0)),0)</f>
        <v>0.2391304347826087</v>
      </c>
      <c r="J5" s="14">
        <f>IFERROR(INDEX(Abandonment!$F$4:$F$9,MATCH(C5,Abandonment!$A$4:$A$9,0)),0)</f>
        <v>1006.6341394957525</v>
      </c>
      <c r="K5" s="14">
        <f t="shared" si="2"/>
        <v>1006.6341394957525</v>
      </c>
      <c r="L5" s="6" t="s">
        <v>83</v>
      </c>
      <c r="M5" s="6" t="s">
        <v>84</v>
      </c>
    </row>
    <row r="6" spans="1:13" ht="28.8" x14ac:dyDescent="0.3">
      <c r="A6" s="6" t="s">
        <v>87</v>
      </c>
      <c r="B6" s="6" t="s">
        <v>88</v>
      </c>
      <c r="C6" s="6" t="s">
        <v>64</v>
      </c>
      <c r="D6" s="18">
        <v>6</v>
      </c>
      <c r="E6" s="18">
        <v>8</v>
      </c>
      <c r="F6" s="18">
        <v>7</v>
      </c>
      <c r="G6" s="19">
        <f t="shared" si="0"/>
        <v>0.33600000000000002</v>
      </c>
      <c r="H6" s="6">
        <f t="shared" si="1"/>
        <v>3</v>
      </c>
      <c r="I6" s="12">
        <f>IFERROR(INDEX(Abandonment!$B$4:$B$9,MATCH(C6,Abandonment!$A$4:$A$9,0)),0)</f>
        <v>5.2795031055900624E-2</v>
      </c>
      <c r="J6" s="14">
        <f>IFERROR(INDEX(Abandonment!$F$4:$F$9,MATCH(C6,Abandonment!$A$4:$A$9,0)),0)</f>
        <v>388.92682662335886</v>
      </c>
      <c r="K6" s="14">
        <f t="shared" si="2"/>
        <v>388.92682662335886</v>
      </c>
      <c r="L6" s="6" t="s">
        <v>83</v>
      </c>
      <c r="M6" s="6" t="s">
        <v>84</v>
      </c>
    </row>
    <row r="7" spans="1:13" ht="28.8" x14ac:dyDescent="0.3">
      <c r="A7" s="6" t="s">
        <v>89</v>
      </c>
      <c r="B7" s="6" t="s">
        <v>90</v>
      </c>
      <c r="C7" s="6" t="s">
        <v>63</v>
      </c>
      <c r="D7" s="18">
        <v>5</v>
      </c>
      <c r="E7" s="18">
        <v>6</v>
      </c>
      <c r="F7" s="18">
        <v>7</v>
      </c>
      <c r="G7" s="19">
        <f t="shared" si="0"/>
        <v>0.21</v>
      </c>
      <c r="H7" s="6">
        <f t="shared" si="1"/>
        <v>5</v>
      </c>
      <c r="I7" s="12">
        <f>IFERROR(INDEX(Abandonment!$B$4:$B$9,MATCH(C7,Abandonment!$A$4:$A$9,0)),0)</f>
        <v>7.1428571428571425E-2</v>
      </c>
      <c r="J7" s="14">
        <f>IFERROR(INDEX(Abandonment!$F$4:$F$9,MATCH(C7,Abandonment!$A$4:$A$9,0)),0)</f>
        <v>180.40975487066731</v>
      </c>
      <c r="K7" s="14">
        <f t="shared" si="2"/>
        <v>180.40975487066731</v>
      </c>
      <c r="L7" s="6" t="s">
        <v>83</v>
      </c>
      <c r="M7" s="6" t="s">
        <v>84</v>
      </c>
    </row>
    <row r="8" spans="1:13" ht="28.8" x14ac:dyDescent="0.3">
      <c r="A8" s="6" t="s">
        <v>91</v>
      </c>
      <c r="B8" s="6" t="s">
        <v>92</v>
      </c>
      <c r="C8" s="6" t="s">
        <v>65</v>
      </c>
      <c r="D8" s="18">
        <v>7</v>
      </c>
      <c r="E8" s="18">
        <v>7</v>
      </c>
      <c r="F8" s="18">
        <v>5</v>
      </c>
      <c r="G8" s="19">
        <f t="shared" si="0"/>
        <v>0.245</v>
      </c>
      <c r="H8" s="6">
        <f t="shared" si="1"/>
        <v>4</v>
      </c>
      <c r="I8" s="12">
        <f>IFERROR(INDEX(Abandonment!$B$4:$B$9,MATCH(C8,Abandonment!$A$4:$A$9,0)),0)</f>
        <v>3.4161490683229816E-2</v>
      </c>
      <c r="J8" s="14">
        <f>IFERROR(INDEX(Abandonment!$F$4:$F$9,MATCH(C8,Abandonment!$A$4:$A$9,0)),0)</f>
        <v>359.51219267705449</v>
      </c>
      <c r="K8" s="14">
        <f t="shared" si="2"/>
        <v>359.51219267705449</v>
      </c>
      <c r="L8" s="6" t="s">
        <v>83</v>
      </c>
      <c r="M8" s="6" t="s">
        <v>84</v>
      </c>
    </row>
    <row r="9" spans="1:13" ht="28.8" x14ac:dyDescent="0.3">
      <c r="A9" s="6" t="s">
        <v>93</v>
      </c>
      <c r="B9" s="6" t="s">
        <v>94</v>
      </c>
      <c r="C9" s="6" t="s">
        <v>62</v>
      </c>
      <c r="D9" s="18">
        <v>4</v>
      </c>
      <c r="E9" s="18">
        <v>5</v>
      </c>
      <c r="F9" s="18">
        <v>8</v>
      </c>
      <c r="G9" s="19">
        <f t="shared" si="0"/>
        <v>0.16</v>
      </c>
      <c r="H9" s="6">
        <f t="shared" si="1"/>
        <v>6</v>
      </c>
      <c r="I9" s="12">
        <f>IFERROR(INDEX(Abandonment!$B$4:$B$9,MATCH(C9,Abandonment!$A$4:$A$9,0)),0)</f>
        <v>0.14906832298136646</v>
      </c>
      <c r="J9" s="14">
        <f>IFERROR(INDEX(Abandonment!$F$4:$F$9,MATCH(C9,Abandonment!$A$4:$A$9,0)),0)</f>
        <v>251.00487634179802</v>
      </c>
      <c r="K9" s="14">
        <f t="shared" si="2"/>
        <v>251.00487634179802</v>
      </c>
      <c r="L9" s="6" t="s">
        <v>83</v>
      </c>
      <c r="M9" s="6" t="s">
        <v>84</v>
      </c>
    </row>
    <row r="11" spans="1:13" ht="57.6" x14ac:dyDescent="0.3">
      <c r="A11" s="5" t="s">
        <v>95</v>
      </c>
      <c r="B11" s="6" t="s">
        <v>96</v>
      </c>
      <c r="M11" s="11" t="s">
        <v>97</v>
      </c>
    </row>
  </sheetData>
  <mergeCells count="1">
    <mergeCell ref="A1:M1"/>
  </mergeCells>
  <conditionalFormatting sqref="G4: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0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ColWidth="8.6640625" defaultRowHeight="15" customHeight="1" x14ac:dyDescent="0.3"/>
  <cols>
    <col min="1" max="1" width="22" customWidth="1"/>
    <col min="2" max="5" width="18" customWidth="1"/>
    <col min="6" max="6" width="22" customWidth="1"/>
    <col min="7" max="7" width="20" customWidth="1"/>
    <col min="8" max="9" width="22" customWidth="1"/>
    <col min="10" max="10" width="70" customWidth="1"/>
  </cols>
  <sheetData>
    <row r="1" spans="1:10" ht="25.5" customHeight="1" x14ac:dyDescent="0.3">
      <c r="A1" s="4" t="s">
        <v>98</v>
      </c>
      <c r="B1" s="4"/>
      <c r="C1" s="4"/>
      <c r="D1" s="4"/>
      <c r="E1" s="4"/>
      <c r="F1" s="4"/>
      <c r="G1" s="4"/>
      <c r="H1" s="4"/>
      <c r="I1" s="4"/>
      <c r="J1" s="4"/>
    </row>
    <row r="3" spans="1:10" ht="27.6" x14ac:dyDescent="0.3">
      <c r="A3" s="7" t="s">
        <v>99</v>
      </c>
      <c r="B3" s="7" t="s">
        <v>100</v>
      </c>
      <c r="C3" s="7" t="s">
        <v>101</v>
      </c>
      <c r="D3" s="7" t="s">
        <v>102</v>
      </c>
      <c r="E3" s="7" t="s">
        <v>103</v>
      </c>
      <c r="F3" s="7" t="s">
        <v>104</v>
      </c>
      <c r="G3" s="7" t="s">
        <v>105</v>
      </c>
      <c r="H3" s="7" t="s">
        <v>106</v>
      </c>
      <c r="I3" s="7" t="s">
        <v>107</v>
      </c>
      <c r="J3" s="7" t="s">
        <v>108</v>
      </c>
    </row>
    <row r="4" spans="1:10" ht="28.8" x14ac:dyDescent="0.3">
      <c r="A4" s="6" t="s">
        <v>109</v>
      </c>
      <c r="B4" s="14">
        <v>55</v>
      </c>
      <c r="C4" s="12">
        <v>0.02</v>
      </c>
      <c r="D4" s="20">
        <f>IFERROR(INDEX($B$4:$B$6,MATCH($B$9,$A$4:$A$6,0)),0)</f>
        <v>65.5</v>
      </c>
      <c r="E4" s="21">
        <f>IFERROR(INDEX($C$4:$C$6,MATCH($B$9,$A$4:$A$6,0)),0)</f>
        <v>0.05</v>
      </c>
      <c r="F4" s="22">
        <f>Inputs!$B$4*Inputs!$B$5</f>
        <v>782</v>
      </c>
      <c r="G4" s="22">
        <f>F4*E4</f>
        <v>39.1</v>
      </c>
      <c r="H4" s="20">
        <f>G4*D4</f>
        <v>2561.0500000000002</v>
      </c>
      <c r="I4" s="20">
        <f>H4</f>
        <v>2561.0500000000002</v>
      </c>
      <c r="J4" s="6" t="s">
        <v>110</v>
      </c>
    </row>
    <row r="5" spans="1:10" ht="14.4" x14ac:dyDescent="0.3">
      <c r="A5" s="6" t="s">
        <v>111</v>
      </c>
      <c r="B5" s="14">
        <v>65.5</v>
      </c>
      <c r="C5" s="12">
        <v>0.05</v>
      </c>
    </row>
    <row r="6" spans="1:10" ht="14.4" x14ac:dyDescent="0.3">
      <c r="A6" s="6" t="s">
        <v>112</v>
      </c>
      <c r="B6" s="14">
        <v>80</v>
      </c>
      <c r="C6" s="12">
        <v>0.08</v>
      </c>
    </row>
    <row r="9" spans="1:10" ht="14.4" x14ac:dyDescent="0.3">
      <c r="A9" s="6" t="s">
        <v>113</v>
      </c>
      <c r="B9" s="18" t="s">
        <v>111</v>
      </c>
    </row>
    <row r="11" spans="1:10" ht="172.8" x14ac:dyDescent="0.3">
      <c r="A11" s="5" t="s">
        <v>114</v>
      </c>
      <c r="B11" s="6" t="s">
        <v>115</v>
      </c>
    </row>
    <row r="14" spans="1:10" ht="27.6" x14ac:dyDescent="0.3">
      <c r="A14" s="7" t="s">
        <v>69</v>
      </c>
      <c r="B14" s="7" t="s">
        <v>116</v>
      </c>
      <c r="C14" s="7" t="s">
        <v>50</v>
      </c>
      <c r="D14" s="7" t="s">
        <v>74</v>
      </c>
      <c r="E14" s="7" t="s">
        <v>77</v>
      </c>
      <c r="F14" s="7" t="s">
        <v>117</v>
      </c>
    </row>
    <row r="15" spans="1:10" ht="28.8" x14ac:dyDescent="0.3">
      <c r="A15" s="6" t="str">
        <f>ICE_Backlog!A4</f>
        <v>FIX-01</v>
      </c>
      <c r="B15" s="6" t="str">
        <f>ICE_Backlog!B4</f>
        <v>Add fit guide + size recommendation</v>
      </c>
      <c r="C15" s="6" t="str">
        <f>ICE_Backlog!C4</f>
        <v>Size/fit doubt</v>
      </c>
      <c r="D15" s="19">
        <f>IFERROR(INDEX(ICE_Backlog!$G$4:$G$9,MATCH(A15,ICE_Backlog!$A$4:$A$9,0)),0)</f>
        <v>0.39200000000000002</v>
      </c>
      <c r="E15" s="14">
        <f>IFERROR(INDEX(ICE_Backlog!$J$4:$J$9,MATCH(A15,ICE_Backlog!$A$4:$A$9,0)),0)</f>
        <v>2385.8536423113615</v>
      </c>
      <c r="F15" s="6" t="s">
        <v>118</v>
      </c>
    </row>
    <row r="16" spans="1:10" ht="43.2" x14ac:dyDescent="0.3">
      <c r="A16" s="6" t="str">
        <f>ICE_Backlog!A5</f>
        <v>FIX-02</v>
      </c>
      <c r="B16" s="6" t="str">
        <f>ICE_Backlog!B5</f>
        <v>Show shipping cost/threshold earlier</v>
      </c>
      <c r="C16" s="6" t="str">
        <f>ICE_Backlog!C5</f>
        <v>Shipping cost too high</v>
      </c>
      <c r="D16" s="19">
        <f>IFERROR(INDEX(ICE_Backlog!$G$4:$G$9,MATCH(A16,ICE_Backlog!$A$4:$A$9,0)),0)</f>
        <v>0.38400000000000001</v>
      </c>
      <c r="E16" s="14">
        <f>IFERROR(INDEX(ICE_Backlog!$J$4:$J$9,MATCH(A16,ICE_Backlog!$A$4:$A$9,0)),0)</f>
        <v>1006.6341394957525</v>
      </c>
      <c r="F16" s="6" t="s">
        <v>118</v>
      </c>
    </row>
    <row r="17" spans="1:6" ht="43.2" x14ac:dyDescent="0.3">
      <c r="A17" s="6" t="str">
        <f>ICE_Backlog!A6</f>
        <v>FIX-03</v>
      </c>
      <c r="B17" s="6" t="str">
        <f>ICE_Backlog!B6</f>
        <v>Add payment-method fallback + clearer errors</v>
      </c>
      <c r="C17" s="6" t="str">
        <f>ICE_Backlog!C6</f>
        <v>Payment method declined</v>
      </c>
      <c r="D17" s="19">
        <f>IFERROR(INDEX(ICE_Backlog!$G$4:$G$9,MATCH(A17,ICE_Backlog!$A$4:$A$9,0)),0)</f>
        <v>0.33600000000000002</v>
      </c>
      <c r="E17" s="14">
        <f>IFERROR(INDEX(ICE_Backlog!$J$4:$J$9,MATCH(A17,ICE_Backlog!$A$4:$A$9,0)),0)</f>
        <v>388.92682662335886</v>
      </c>
      <c r="F17" s="6" t="s">
        <v>118</v>
      </c>
    </row>
    <row r="18" spans="1:6" ht="43.2" x14ac:dyDescent="0.3">
      <c r="A18" s="6" t="str">
        <f>ICE_Backlog!A7</f>
        <v>FIX-04</v>
      </c>
      <c r="B18" s="6" t="str">
        <f>ICE_Backlog!B7</f>
        <v>Strengthen price/value messaging</v>
      </c>
      <c r="C18" s="6" t="str">
        <f>ICE_Backlog!C7</f>
        <v>Found better price elsewhere</v>
      </c>
      <c r="D18" s="19">
        <f>IFERROR(INDEX(ICE_Backlog!$G$4:$G$9,MATCH(A18,ICE_Backlog!$A$4:$A$9,0)),0)</f>
        <v>0.21</v>
      </c>
      <c r="E18" s="14">
        <f>IFERROR(INDEX(ICE_Backlog!$J$4:$J$9,MATCH(A18,ICE_Backlog!$A$4:$A$9,0)),0)</f>
        <v>180.40975487066731</v>
      </c>
      <c r="F18" s="6" t="s">
        <v>118</v>
      </c>
    </row>
    <row r="19" spans="1:6" ht="43.2" x14ac:dyDescent="0.3">
      <c r="A19" s="6" t="str">
        <f>ICE_Backlog!A8</f>
        <v>FIX-05</v>
      </c>
      <c r="B19" s="6" t="str">
        <f>ICE_Backlog!B8</f>
        <v>Improve technical error recovery + retry</v>
      </c>
      <c r="C19" s="6" t="str">
        <f>ICE_Backlog!C8</f>
        <v>Website technical error</v>
      </c>
      <c r="D19" s="19">
        <f>IFERROR(INDEX(ICE_Backlog!$G$4:$G$9,MATCH(A19,ICE_Backlog!$A$4:$A$9,0)),0)</f>
        <v>0.245</v>
      </c>
      <c r="E19" s="14">
        <f>IFERROR(INDEX(ICE_Backlog!$J$4:$J$9,MATCH(A19,ICE_Backlog!$A$4:$A$9,0)),0)</f>
        <v>359.51219267705449</v>
      </c>
      <c r="F19" s="6" t="s">
        <v>118</v>
      </c>
    </row>
    <row r="20" spans="1:6" ht="28.8" x14ac:dyDescent="0.3">
      <c r="A20" s="6" t="str">
        <f>ICE_Backlog!A9</f>
        <v>FIX-06</v>
      </c>
      <c r="B20" s="6" t="str">
        <f>ICE_Backlog!B9</f>
        <v>Add save-for-later / wishlist prompt</v>
      </c>
      <c r="C20" s="6" t="str">
        <f>ICE_Backlog!C9</f>
        <v>Just browsing/saved for later</v>
      </c>
      <c r="D20" s="19">
        <f>IFERROR(INDEX(ICE_Backlog!$G$4:$G$9,MATCH(A20,ICE_Backlog!$A$4:$A$9,0)),0)</f>
        <v>0.16</v>
      </c>
      <c r="E20" s="14">
        <f>IFERROR(INDEX(ICE_Backlog!$J$4:$J$9,MATCH(A20,ICE_Backlog!$A$4:$A$9,0)),0)</f>
        <v>251.00487634179802</v>
      </c>
      <c r="F20" s="6" t="s">
        <v>118</v>
      </c>
    </row>
  </sheetData>
  <mergeCells count="1">
    <mergeCell ref="A1:J1"/>
  </mergeCells>
  <dataValidations count="1">
    <dataValidation type="list" sqref="B9" xr:uid="{00000000-0002-0000-0400-000000000000}">
      <formula1>"Conservative,Base,Upside"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4"/>
  <sheetViews>
    <sheetView showGridLines="0" tabSelected="1" zoomScaleNormal="100" workbookViewId="0">
      <pane ySplit="3" topLeftCell="A4" activePane="bottomLeft" state="frozen"/>
      <selection pane="bottomLeft" sqref="A1:D1"/>
    </sheetView>
  </sheetViews>
  <sheetFormatPr defaultColWidth="8.6640625" defaultRowHeight="15" customHeight="1" x14ac:dyDescent="0.3"/>
  <cols>
    <col min="1" max="1" width="42" customWidth="1"/>
    <col min="2" max="2" width="22" customWidth="1"/>
    <col min="3" max="3" width="18" customWidth="1"/>
    <col min="4" max="4" width="52" customWidth="1"/>
  </cols>
  <sheetData>
    <row r="1" spans="1:4" ht="17.850000000000001" customHeight="1" x14ac:dyDescent="0.3">
      <c r="A1" s="2" t="s">
        <v>119</v>
      </c>
      <c r="B1" s="2"/>
      <c r="C1" s="2"/>
      <c r="D1" s="2"/>
    </row>
    <row r="3" spans="1:4" ht="14.4" x14ac:dyDescent="0.3">
      <c r="A3" s="23" t="s">
        <v>120</v>
      </c>
      <c r="B3" s="23" t="s">
        <v>121</v>
      </c>
      <c r="C3" s="23" t="s">
        <v>122</v>
      </c>
      <c r="D3" s="23" t="s">
        <v>123</v>
      </c>
    </row>
    <row r="4" spans="1:4" ht="28.8" x14ac:dyDescent="0.3">
      <c r="A4" s="24" t="s">
        <v>124</v>
      </c>
      <c r="B4" s="25">
        <f>Abandonment!C10</f>
        <v>322</v>
      </c>
      <c r="C4" s="24">
        <v>322</v>
      </c>
      <c r="D4" s="24" t="s">
        <v>125</v>
      </c>
    </row>
    <row r="5" spans="1:4" ht="14.4" x14ac:dyDescent="0.3">
      <c r="A5" s="24" t="s">
        <v>126</v>
      </c>
      <c r="B5" s="24">
        <f>SUM(Abandonment!I4:I9)</f>
        <v>322</v>
      </c>
      <c r="C5" s="25">
        <f>Abandonment!C10</f>
        <v>322</v>
      </c>
      <c r="D5" s="24" t="s">
        <v>127</v>
      </c>
    </row>
    <row r="6" spans="1:4" ht="14.4" x14ac:dyDescent="0.3">
      <c r="A6" s="24" t="s">
        <v>128</v>
      </c>
      <c r="B6" s="26">
        <f>SUM(Abandonment!B4:B9)</f>
        <v>1</v>
      </c>
      <c r="C6" s="24">
        <v>1</v>
      </c>
      <c r="D6" s="24" t="s">
        <v>129</v>
      </c>
    </row>
    <row r="7" spans="1:4" ht="14.4" x14ac:dyDescent="0.3">
      <c r="A7" s="24" t="s">
        <v>130</v>
      </c>
      <c r="B7" s="26">
        <f>SUM(Abandonment!G4:G9)</f>
        <v>1</v>
      </c>
      <c r="C7" s="24">
        <v>1</v>
      </c>
      <c r="D7" s="24" t="s">
        <v>131</v>
      </c>
    </row>
    <row r="8" spans="1:4" ht="14.4" x14ac:dyDescent="0.3">
      <c r="A8" s="24" t="s">
        <v>132</v>
      </c>
      <c r="B8" s="24">
        <f>COUNTA(ICE_Backlog!A4:A9)</f>
        <v>6</v>
      </c>
      <c r="C8" s="24">
        <v>6</v>
      </c>
      <c r="D8" s="24" t="s">
        <v>133</v>
      </c>
    </row>
    <row r="9" spans="1:4" ht="14.4" x14ac:dyDescent="0.3">
      <c r="A9" s="24" t="s">
        <v>134</v>
      </c>
      <c r="B9" s="24">
        <f>COUNTIF(ICE_Backlog!H4:H9,1)+COUNTIF(ICE_Backlog!H4:H9,2)+COUNTIF(ICE_Backlog!H4:H9,3)+COUNTIF(ICE_Backlog!H4:H9,4)+COUNTIF(ICE_Backlog!H4:H9,5)+COUNTIF(ICE_Backlog!H4:H9,6)</f>
        <v>6</v>
      </c>
      <c r="C9" s="24">
        <v>6</v>
      </c>
      <c r="D9" s="24" t="s">
        <v>135</v>
      </c>
    </row>
    <row r="10" spans="1:4" ht="14.4" x14ac:dyDescent="0.3">
      <c r="A10" s="24" t="s">
        <v>136</v>
      </c>
      <c r="B10" s="24">
        <f>IF(What_If!B9&lt;&gt;"",1,0)</f>
        <v>1</v>
      </c>
      <c r="C10" s="24">
        <v>1</v>
      </c>
      <c r="D10" s="24" t="s">
        <v>137</v>
      </c>
    </row>
    <row r="11" spans="1:4" ht="14.4" x14ac:dyDescent="0.3">
      <c r="A11" s="24" t="s">
        <v>138</v>
      </c>
      <c r="B11" s="24" t="b">
        <f>ISNUMBER(What_If!D4)</f>
        <v>1</v>
      </c>
      <c r="C11" s="24" t="b">
        <f>TRUE()</f>
        <v>1</v>
      </c>
      <c r="D11" s="24" t="s">
        <v>139</v>
      </c>
    </row>
    <row r="12" spans="1:4" ht="14.4" x14ac:dyDescent="0.3">
      <c r="A12" s="24" t="s">
        <v>140</v>
      </c>
      <c r="B12" s="24" t="b">
        <f>ISNUMBER(What_If!E4)</f>
        <v>1</v>
      </c>
      <c r="C12" s="24" t="b">
        <f>TRUE()</f>
        <v>1</v>
      </c>
      <c r="D12" s="24" t="s">
        <v>141</v>
      </c>
    </row>
    <row r="14" spans="1:4" ht="28.35" customHeight="1" x14ac:dyDescent="0.3">
      <c r="A14" s="11" t="s">
        <v>142</v>
      </c>
      <c r="B14" s="1" t="s">
        <v>143</v>
      </c>
      <c r="C14" s="1"/>
      <c r="D14" s="1"/>
    </row>
  </sheetData>
  <autoFilter ref="A3:D12" xr:uid="{00000000-0009-0000-0000-000005000000}"/>
  <mergeCells count="2">
    <mergeCell ref="A1:D1"/>
    <mergeCell ref="B14:D14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Abandonment</vt:lpstr>
      <vt:lpstr>ICE_Backlog</vt:lpstr>
      <vt:lpstr>What_If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mehtabhavna19@outlook.com</cp:lastModifiedBy>
  <dcterms:modified xsi:type="dcterms:W3CDTF">2026-09-18T19:52:36Z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2026-09-18T17:55:29Z</dcterms:created>
  <dc:creator>openpyxl</dc:creator>
  <dc:description/>
  <dc:language>en-US</dc:language>
  <cp:lastModifiedBy/>
  <dcterms:modified xsi:type="dcterms:W3CDTF">2026-09-18T18:30:05Z</dcterms:modified>
  <cp:revision>0</cp:revision>
  <dc:subject/>
  <dc:title/>
</cp:coreProperties>
</file>